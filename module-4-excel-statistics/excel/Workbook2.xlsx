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worksheet2" sheetId="1" r:id="rId1"/>
    <sheet name="worksheet3" sheetId="2" r:id="rId2"/>
    <sheet name="worksheet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<sst xmlns="http://schemas.openxmlformats.org/spreadsheetml/2006/main" count="225" uniqueCount="40">
  <si>
    <t>id</t>
  </si>
  <si>
    <t>name</t>
  </si>
  <si>
    <t>salary</t>
  </si>
  <si>
    <t>mobile</t>
  </si>
  <si>
    <t>address</t>
  </si>
  <si>
    <t>department</t>
  </si>
  <si>
    <t>lastname</t>
  </si>
  <si>
    <t>brijesh shekhda</t>
  </si>
  <si>
    <t>150 feet ring road rajkot</t>
  </si>
  <si>
    <t>IT</t>
  </si>
  <si>
    <t>sharma</t>
  </si>
  <si>
    <t>krish</t>
  </si>
  <si>
    <t>50 feet ring road rajkot</t>
  </si>
  <si>
    <t>CSE</t>
  </si>
  <si>
    <t>patel</t>
  </si>
  <si>
    <t>vijay</t>
  </si>
  <si>
    <t>150 feet ring road rjt</t>
  </si>
  <si>
    <t>het kumar</t>
  </si>
  <si>
    <t xml:space="preserve">50 ring road </t>
  </si>
  <si>
    <t>50 ring road rajkot</t>
  </si>
  <si>
    <t>shah</t>
  </si>
  <si>
    <t>shekhda</t>
  </si>
  <si>
    <t>devang shah</t>
  </si>
  <si>
    <t>mishra</t>
  </si>
  <si>
    <t>sum salary</t>
  </si>
  <si>
    <t>average of salary</t>
  </si>
  <si>
    <t xml:space="preserve">max salary </t>
  </si>
  <si>
    <t>min salary</t>
  </si>
  <si>
    <t>Total Numbers of employee</t>
  </si>
  <si>
    <t>Name concatenate</t>
  </si>
  <si>
    <t>brijesh</t>
  </si>
  <si>
    <t>trivedi</t>
  </si>
  <si>
    <t>het</t>
  </si>
  <si>
    <t>vajpei</t>
  </si>
  <si>
    <t>makwana</t>
  </si>
  <si>
    <t>rupeliya</t>
  </si>
  <si>
    <t>kumar</t>
  </si>
  <si>
    <t>devang</t>
  </si>
  <si>
    <t>dixit</t>
  </si>
  <si>
    <t>dave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</si>
</sst>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  <xf numFmtId="0" fontId="1" fillId="8" borderId="0" xfId="0" applyFont="1" applyFill="1">
      <alignment vertical="center"/>
    </xf>
    <xf numFmtId="0" fontId="1" fillId="8" borderId="0" xfId="0" applyFont="1" applyFill="1" applyAlignment="1">
      <alignment horizontal="right" vertical="center"/>
    </xf>
    <xf numFmtId="0" fontId="1" fillId="8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D33" sqref="$A1:$XFD1048576"/>
    </sheetView>
  </sheetViews>
  <sheetFormatPr defaultColWidth="9.14285714285714" defaultRowHeight="15"/>
  <cols>
    <col min="2" max="2" width="31.8571428571429" customWidth="1"/>
    <col min="3" max="3" width="22" customWidth="1"/>
    <col min="4" max="4" width="20.7142857142857" customWidth="1"/>
    <col min="5" max="5" width="23.5714285714286" customWidth="1"/>
    <col min="6" max="6" width="41.2857142857143" customWidth="1"/>
    <col min="7" max="7" width="18.428571428571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</row>
    <row r="2" spans="1:12">
      <c r="A2">
        <f>ROW()-1</f>
        <v>1</v>
      </c>
      <c r="B2" t="s">
        <v>7</v>
      </c>
      <c r="C2">
        <v>25500</v>
      </c>
      <c r="D2">
        <v>9998003879</v>
      </c>
      <c r="E2" t="s">
        <v>8</v>
      </c>
      <c r="F2" t="s">
        <v>9</v>
      </c>
      <c r="G2" t="s">
        <v>10</v>
      </c>
    </row>
    <row r="3" spans="1:12">
      <c r="A3">
        <f t="shared" ref="A3:A16" si="0">ROW()-1</f>
        <v>2</v>
      </c>
      <c r="B3" t="s">
        <v>11</v>
      </c>
      <c r="C3">
        <v>22500</v>
      </c>
      <c r="D3">
        <v>91545454545</v>
      </c>
      <c r="E3" t="s">
        <v>12</v>
      </c>
      <c r="F3" t="s">
        <v>13</v>
      </c>
      <c r="G3" t="s">
        <v>14</v>
      </c>
    </row>
    <row r="4" spans="1:12">
      <c r="A4">
        <f t="shared" si="0"/>
        <v>3</v>
      </c>
      <c r="B4" t="s">
        <v>15</v>
      </c>
      <c r="C4">
        <v>15500</v>
      </c>
      <c r="D4">
        <v>9155454545</v>
      </c>
      <c r="E4" t="s">
        <v>16</v>
      </c>
      <c r="F4" t="s">
        <v>9</v>
      </c>
      <c r="G4" t="s">
        <v>14</v>
      </c>
    </row>
    <row r="5" spans="1:12">
      <c r="A5">
        <f t="shared" si="0"/>
        <v>4</v>
      </c>
      <c r="B5" t="s">
        <v>17</v>
      </c>
      <c r="C5">
        <v>22850</v>
      </c>
      <c r="D5">
        <v>9212121</v>
      </c>
      <c r="E5" t="s">
        <v>18</v>
      </c>
      <c r="F5" t="s">
        <v>9</v>
      </c>
      <c r="G5" t="s">
        <v>14</v>
      </c>
    </row>
    <row r="6" spans="1:12">
      <c r="A6">
        <f t="shared" si="0"/>
        <v>5</v>
      </c>
      <c r="B6" t="str">
        <f>UPPER("devang shah")</f>
        <v>DEVANG SHAH</v>
      </c>
      <c r="C6">
        <v>35500</v>
      </c>
      <c r="D6">
        <v>91454545</v>
      </c>
      <c r="E6" t="s">
        <v>19</v>
      </c>
      <c r="F6" t="s">
        <v>13</v>
      </c>
      <c r="G6" t="s">
        <v>20</v>
      </c>
    </row>
    <row r="7" spans="1:12">
      <c r="A7">
        <f t="shared" si="0"/>
        <v>6</v>
      </c>
      <c r="B7" t="s">
        <v>7</v>
      </c>
      <c r="C7">
        <v>25500</v>
      </c>
      <c r="D7">
        <v>9998003879</v>
      </c>
      <c r="E7" t="s">
        <v>8</v>
      </c>
      <c r="F7" t="s">
        <v>9</v>
      </c>
      <c r="G7" t="s">
        <v>21</v>
      </c>
    </row>
    <row r="8" spans="1:12">
      <c r="A8">
        <f t="shared" si="0"/>
        <v>7</v>
      </c>
      <c r="B8" t="s">
        <v>11</v>
      </c>
      <c r="C8">
        <v>22500</v>
      </c>
      <c r="D8">
        <v>91545454545</v>
      </c>
      <c r="E8" t="s">
        <v>12</v>
      </c>
      <c r="F8" t="s">
        <v>13</v>
      </c>
      <c r="G8" t="s">
        <v>14</v>
      </c>
    </row>
    <row r="9" spans="1:12">
      <c r="A9">
        <f t="shared" si="0"/>
        <v>8</v>
      </c>
      <c r="B9" t="s">
        <v>15</v>
      </c>
      <c r="C9">
        <v>15500</v>
      </c>
      <c r="D9">
        <v>9155454545</v>
      </c>
      <c r="E9" t="s">
        <v>16</v>
      </c>
      <c r="F9" t="s">
        <v>9</v>
      </c>
      <c r="G9" t="s">
        <v>10</v>
      </c>
    </row>
    <row r="10" spans="1:12">
      <c r="A10">
        <f t="shared" si="0"/>
        <v>9</v>
      </c>
      <c r="B10" t="str">
        <f>UPPER("het kumar")</f>
        <v>HET KUMAR</v>
      </c>
      <c r="C10">
        <v>22850</v>
      </c>
      <c r="D10">
        <v>9212121</v>
      </c>
      <c r="E10" t="s">
        <v>18</v>
      </c>
      <c r="F10" t="s">
        <v>9</v>
      </c>
      <c r="G10" t="s">
        <v>14</v>
      </c>
    </row>
    <row r="11" spans="1:12">
      <c r="A11">
        <f t="shared" si="0"/>
        <v>10</v>
      </c>
      <c r="B11" t="s">
        <v>22</v>
      </c>
      <c r="C11">
        <v>35500</v>
      </c>
      <c r="D11">
        <v>91454545</v>
      </c>
      <c r="E11" t="s">
        <v>19</v>
      </c>
      <c r="F11" t="s">
        <v>13</v>
      </c>
      <c r="G11" t="s">
        <v>14</v>
      </c>
    </row>
    <row r="12" spans="1:12">
      <c r="A12">
        <f t="shared" si="0"/>
        <v>11</v>
      </c>
      <c r="B12" t="str">
        <f>PROPER("brijesh shekhda")</f>
        <v>Brijesh Shekhda</v>
      </c>
      <c r="C12">
        <v>25500</v>
      </c>
      <c r="D12">
        <v>9998003879</v>
      </c>
      <c r="E12" t="s">
        <v>8</v>
      </c>
      <c r="F12" t="s">
        <v>9</v>
      </c>
      <c r="G12" t="s">
        <v>14</v>
      </c>
    </row>
    <row r="13" spans="1:12">
      <c r="A13">
        <f t="shared" si="0"/>
        <v>12</v>
      </c>
      <c r="B13" t="s">
        <v>11</v>
      </c>
      <c r="C13">
        <v>22500</v>
      </c>
      <c r="D13">
        <v>91545454545</v>
      </c>
      <c r="E13" t="s">
        <v>12</v>
      </c>
      <c r="F13" t="s">
        <v>13</v>
      </c>
      <c r="G13" t="s">
        <v>20</v>
      </c>
    </row>
    <row r="14" spans="1:12">
      <c r="A14">
        <f t="shared" si="0"/>
        <v>13</v>
      </c>
      <c r="B14" t="s">
        <v>15</v>
      </c>
      <c r="C14">
        <v>15500</v>
      </c>
      <c r="D14">
        <v>9155454545</v>
      </c>
      <c r="E14" t="s">
        <v>16</v>
      </c>
      <c r="F14" t="s">
        <v>9</v>
      </c>
      <c r="G14" t="s">
        <v>21</v>
      </c>
    </row>
    <row r="15" spans="1:12">
      <c r="A15">
        <f t="shared" si="0"/>
        <v>14</v>
      </c>
      <c r="B15" t="s">
        <v>17</v>
      </c>
      <c r="C15">
        <v>22850</v>
      </c>
      <c r="D15">
        <v>9212121</v>
      </c>
      <c r="E15" t="s">
        <v>18</v>
      </c>
      <c r="F15" t="s">
        <v>9</v>
      </c>
      <c r="G15" t="s">
        <v>14</v>
      </c>
    </row>
    <row r="16" spans="1:12">
      <c r="A16">
        <f t="shared" si="0"/>
        <v>15</v>
      </c>
      <c r="B16" t="s">
        <v>22</v>
      </c>
      <c r="C16">
        <v>35500</v>
      </c>
      <c r="D16">
        <v>91454545</v>
      </c>
      <c r="E16" t="s">
        <v>19</v>
      </c>
      <c r="F16" t="s">
        <v>13</v>
      </c>
      <c r="G16" t="s">
        <v>23</v>
      </c>
    </row>
    <row r="17" spans="2:6">
      <c r="B17" s="2" t="s">
        <v>24</v>
      </c>
      <c r="C17" s="3">
        <f>SUM(C2:C16)</f>
        <v>365550</v>
      </c>
      <c r="D17" s="3"/>
      <c r="E17" s="3"/>
      <c r="F17" s="3"/>
    </row>
    <row r="18" spans="2:6">
      <c r="B18" s="4" t="s">
        <v>25</v>
      </c>
      <c r="C18" s="5">
        <f>AVERAGE(C1:C16)</f>
        <v>24370</v>
      </c>
      <c r="D18" s="5"/>
      <c r="E18" s="5"/>
      <c r="F18" s="5"/>
    </row>
    <row r="19" spans="2:6">
      <c r="B19" s="6" t="s">
        <v>26</v>
      </c>
      <c r="C19" s="7">
        <f>MAX(C1:C16)</f>
        <v>35500</v>
      </c>
      <c r="D19" s="7"/>
      <c r="E19" s="7"/>
      <c r="F19" s="7"/>
    </row>
    <row r="20" spans="2:6">
      <c r="B20" s="8" t="s">
        <v>27</v>
      </c>
      <c r="C20" s="9">
        <f>MIN(C2:C16)</f>
        <v>15500</v>
      </c>
      <c r="D20" s="9"/>
      <c r="E20" s="9"/>
      <c r="F20" s="9"/>
    </row>
    <row r="21" spans="2:6">
      <c r="B21" s="10" t="s">
        <v>28</v>
      </c>
      <c r="C21" s="10">
        <f>COUNT(A2:A16)</f>
        <v>15</v>
      </c>
      <c r="D21" s="10"/>
      <c r="E21" s="10"/>
      <c r="F21" s="10"/>
    </row>
    <row r="22" spans="2:6">
      <c r="B22" s="11" t="s">
        <v>29</v>
      </c>
      <c r="C22" s="12" t="str">
        <f t="shared" ref="C22:C27" si="1">B9&amp;" "&amp;G9</f>
        <v>vijay sharma</v>
      </c>
      <c r="D22" s="13"/>
      <c r="E22" s="13"/>
      <c r="F22" s="13"/>
    </row>
    <row r="23" spans="2:6">
      <c r="B23" s="11" t="s">
        <v>29</v>
      </c>
      <c r="C23" s="12" t="str">
        <f t="shared" si="1"/>
        <v>HET KUMAR patel</v>
      </c>
      <c r="D23" s="13"/>
      <c r="E23" s="13"/>
      <c r="F23" s="13"/>
    </row>
    <row r="24" spans="2:6">
      <c r="B24" s="11" t="s">
        <v>29</v>
      </c>
      <c r="C24" s="12" t="str">
        <f t="shared" si="1"/>
        <v>devang shah patel</v>
      </c>
      <c r="D24" s="13"/>
      <c r="E24" s="13"/>
      <c r="F24" s="13"/>
    </row>
    <row r="25" spans="2:6">
      <c r="B25" s="11" t="s">
        <v>29</v>
      </c>
      <c r="C25" s="12" t="str">
        <f t="shared" si="1"/>
        <v>Brijesh Shekhda patel</v>
      </c>
      <c r="D25" s="13"/>
      <c r="E25" s="13"/>
      <c r="F25" s="13"/>
    </row>
    <row r="26" spans="2:6">
      <c r="B26" s="11" t="s">
        <v>29</v>
      </c>
      <c r="C26" s="12" t="str">
        <f t="shared" si="1"/>
        <v>krish shah</v>
      </c>
      <c r="D26" s="13"/>
      <c r="E26" s="13"/>
      <c r="F26" s="13"/>
    </row>
    <row r="27" spans="2:6">
      <c r="B27" s="11" t="s">
        <v>29</v>
      </c>
      <c r="C27" s="12" t="str">
        <f t="shared" si="1"/>
        <v>vijay shekhda</v>
      </c>
      <c r="D27" s="13"/>
      <c r="E27" s="13"/>
      <c r="F27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A1" sqref="$A1:$XFD1048576"/>
    </sheetView>
  </sheetViews>
  <sheetFormatPr defaultColWidth="9.14285714285714" defaultRowHeight="15"/>
  <cols>
    <col min="2" max="2" width="31.8571428571429" customWidth="1"/>
    <col min="3" max="3" width="22" customWidth="1"/>
    <col min="4" max="4" width="20.7142857142857" customWidth="1"/>
    <col min="5" max="5" width="23.5714285714286" customWidth="1"/>
    <col min="6" max="6" width="41.2857142857143" customWidth="1"/>
    <col min="7" max="7" width="18.428571428571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</row>
    <row r="2" spans="1:12">
      <c r="A2">
        <f t="shared" ref="A2:A16" si="0">ROW()-1</f>
        <v>1</v>
      </c>
      <c r="B2" t="s">
        <v>7</v>
      </c>
      <c r="C2">
        <v>25500</v>
      </c>
      <c r="D2">
        <v>9998003879</v>
      </c>
      <c r="E2" t="s">
        <v>8</v>
      </c>
      <c r="F2" t="s">
        <v>9</v>
      </c>
      <c r="G2" t="s">
        <v>10</v>
      </c>
    </row>
    <row r="3" spans="1:12">
      <c r="A3">
        <f t="shared" si="0"/>
        <v>2</v>
      </c>
      <c r="B3" t="s">
        <v>11</v>
      </c>
      <c r="C3">
        <v>22500</v>
      </c>
      <c r="D3">
        <v>91545454545</v>
      </c>
      <c r="E3" t="s">
        <v>12</v>
      </c>
      <c r="F3" t="s">
        <v>13</v>
      </c>
      <c r="G3" t="s">
        <v>14</v>
      </c>
    </row>
    <row r="4" spans="1:12">
      <c r="A4">
        <f t="shared" si="0"/>
        <v>3</v>
      </c>
      <c r="B4" t="s">
        <v>15</v>
      </c>
      <c r="C4">
        <v>15500</v>
      </c>
      <c r="D4">
        <v>9155454545</v>
      </c>
      <c r="E4" t="s">
        <v>16</v>
      </c>
      <c r="F4" t="s">
        <v>9</v>
      </c>
      <c r="G4" t="s">
        <v>14</v>
      </c>
    </row>
    <row r="5" spans="1:12">
      <c r="A5">
        <f t="shared" si="0"/>
        <v>4</v>
      </c>
      <c r="B5" t="s">
        <v>17</v>
      </c>
      <c r="C5">
        <v>22850</v>
      </c>
      <c r="D5">
        <v>9212121</v>
      </c>
      <c r="E5" t="s">
        <v>18</v>
      </c>
      <c r="F5" t="s">
        <v>9</v>
      </c>
      <c r="G5" t="s">
        <v>14</v>
      </c>
    </row>
    <row r="6" spans="1:12">
      <c r="A6">
        <f t="shared" si="0"/>
        <v>5</v>
      </c>
      <c r="B6" t="str">
        <f>UPPER("devang shah")</f>
        <v>DEVANG SHAH</v>
      </c>
      <c r="C6">
        <v>35500</v>
      </c>
      <c r="D6">
        <v>91454545</v>
      </c>
      <c r="E6" t="s">
        <v>19</v>
      </c>
      <c r="F6" t="s">
        <v>13</v>
      </c>
      <c r="G6" t="s">
        <v>20</v>
      </c>
    </row>
    <row r="7" spans="1:12">
      <c r="A7">
        <f t="shared" si="0"/>
        <v>6</v>
      </c>
      <c r="B7" t="s">
        <v>7</v>
      </c>
      <c r="C7">
        <v>25500</v>
      </c>
      <c r="D7">
        <v>9998003879</v>
      </c>
      <c r="E7" t="s">
        <v>8</v>
      </c>
      <c r="F7" t="s">
        <v>9</v>
      </c>
      <c r="G7" t="s">
        <v>21</v>
      </c>
    </row>
    <row r="8" spans="1:12">
      <c r="A8">
        <f t="shared" si="0"/>
        <v>7</v>
      </c>
      <c r="B8" t="s">
        <v>11</v>
      </c>
      <c r="C8">
        <v>22500</v>
      </c>
      <c r="D8">
        <v>91545454545</v>
      </c>
      <c r="E8" t="s">
        <v>12</v>
      </c>
      <c r="F8" t="s">
        <v>13</v>
      </c>
      <c r="G8" t="s">
        <v>14</v>
      </c>
    </row>
    <row r="9" spans="1:12">
      <c r="A9">
        <f t="shared" si="0"/>
        <v>8</v>
      </c>
      <c r="B9" t="s">
        <v>15</v>
      </c>
      <c r="C9">
        <v>15500</v>
      </c>
      <c r="D9">
        <v>9155454545</v>
      </c>
      <c r="E9" t="s">
        <v>16</v>
      </c>
      <c r="F9" t="s">
        <v>9</v>
      </c>
      <c r="G9" t="s">
        <v>10</v>
      </c>
    </row>
    <row r="10" spans="1:12">
      <c r="A10">
        <f t="shared" si="0"/>
        <v>9</v>
      </c>
      <c r="B10" t="str">
        <f>UPPER("het kumar")</f>
        <v>HET KUMAR</v>
      </c>
      <c r="C10">
        <v>22850</v>
      </c>
      <c r="D10">
        <v>9212121</v>
      </c>
      <c r="E10" t="s">
        <v>18</v>
      </c>
      <c r="F10" t="s">
        <v>9</v>
      </c>
      <c r="G10" t="s">
        <v>14</v>
      </c>
    </row>
    <row r="11" spans="1:12">
      <c r="A11">
        <f t="shared" si="0"/>
        <v>10</v>
      </c>
      <c r="B11" t="s">
        <v>22</v>
      </c>
      <c r="C11">
        <v>35500</v>
      </c>
      <c r="D11">
        <v>91454545</v>
      </c>
      <c r="E11" t="s">
        <v>19</v>
      </c>
      <c r="F11" t="s">
        <v>13</v>
      </c>
      <c r="G11" t="s">
        <v>14</v>
      </c>
    </row>
    <row r="12" spans="1:12">
      <c r="A12">
        <f t="shared" si="0"/>
        <v>11</v>
      </c>
      <c r="B12" t="str">
        <f>PROPER("brijesh shekhda")</f>
        <v>Brijesh Shekhda</v>
      </c>
      <c r="C12">
        <v>25500</v>
      </c>
      <c r="D12">
        <v>9998003879</v>
      </c>
      <c r="E12" t="s">
        <v>8</v>
      </c>
      <c r="F12" t="s">
        <v>9</v>
      </c>
      <c r="G12" t="s">
        <v>14</v>
      </c>
    </row>
    <row r="13" spans="1:12">
      <c r="A13">
        <f t="shared" si="0"/>
        <v>12</v>
      </c>
      <c r="B13" t="s">
        <v>11</v>
      </c>
      <c r="C13">
        <v>22500</v>
      </c>
      <c r="D13">
        <v>91545454545</v>
      </c>
      <c r="E13" t="s">
        <v>12</v>
      </c>
      <c r="F13" t="s">
        <v>13</v>
      </c>
      <c r="G13" t="s">
        <v>20</v>
      </c>
    </row>
    <row r="14" spans="1:12">
      <c r="A14">
        <f t="shared" si="0"/>
        <v>13</v>
      </c>
      <c r="B14" t="s">
        <v>15</v>
      </c>
      <c r="C14">
        <v>15500</v>
      </c>
      <c r="D14">
        <v>9155454545</v>
      </c>
      <c r="E14" t="s">
        <v>16</v>
      </c>
      <c r="F14" t="s">
        <v>9</v>
      </c>
      <c r="G14" t="s">
        <v>21</v>
      </c>
    </row>
    <row r="15" spans="1:12">
      <c r="A15">
        <f t="shared" si="0"/>
        <v>14</v>
      </c>
      <c r="B15" t="s">
        <v>17</v>
      </c>
      <c r="C15">
        <v>22850</v>
      </c>
      <c r="D15">
        <v>9212121</v>
      </c>
      <c r="E15" t="s">
        <v>18</v>
      </c>
      <c r="F15" t="s">
        <v>9</v>
      </c>
      <c r="G15" t="s">
        <v>14</v>
      </c>
    </row>
    <row r="16" spans="1:12">
      <c r="A16">
        <f t="shared" si="0"/>
        <v>15</v>
      </c>
      <c r="B16" t="s">
        <v>22</v>
      </c>
      <c r="C16">
        <v>35500</v>
      </c>
      <c r="D16">
        <v>91454545</v>
      </c>
      <c r="E16" t="s">
        <v>19</v>
      </c>
      <c r="F16" t="s">
        <v>13</v>
      </c>
      <c r="G16" t="s">
        <v>23</v>
      </c>
    </row>
    <row r="17" customFormat="1" spans="2:6">
      <c r="B17" s="2" t="s">
        <v>24</v>
      </c>
      <c r="C17" s="3">
        <f>SUM(C2:C16)</f>
        <v>365550</v>
      </c>
      <c r="D17" s="3"/>
      <c r="E17" s="3"/>
      <c r="F17" s="3"/>
    </row>
    <row r="18" customFormat="1" spans="2:6">
      <c r="B18" s="4" t="s">
        <v>25</v>
      </c>
      <c r="C18" s="5">
        <f>AVERAGE(C1:C16)</f>
        <v>24370</v>
      </c>
      <c r="D18" s="5"/>
      <c r="E18" s="5"/>
      <c r="F18" s="5"/>
    </row>
    <row r="19" customFormat="1" spans="2:6">
      <c r="B19" s="6" t="s">
        <v>26</v>
      </c>
      <c r="C19" s="7">
        <f>MAX(C1:C16)</f>
        <v>35500</v>
      </c>
      <c r="D19" s="7"/>
      <c r="E19" s="7"/>
      <c r="F19" s="7"/>
    </row>
    <row r="20" customFormat="1" spans="2:6">
      <c r="B20" s="8" t="s">
        <v>27</v>
      </c>
      <c r="C20" s="9">
        <f>MIN(C2:C16)</f>
        <v>15500</v>
      </c>
      <c r="D20" s="9"/>
      <c r="E20" s="9"/>
      <c r="F20" s="9"/>
    </row>
    <row r="21" customFormat="1" spans="2:6">
      <c r="B21" s="10" t="s">
        <v>28</v>
      </c>
      <c r="C21" s="10">
        <f>COUNT(A2:A16)</f>
        <v>15</v>
      </c>
      <c r="D21" s="10"/>
      <c r="E21" s="10"/>
      <c r="F21" s="10"/>
    </row>
    <row r="22" customFormat="1" spans="2:6">
      <c r="B22" s="11" t="s">
        <v>29</v>
      </c>
      <c r="C22" s="12" t="str">
        <f t="shared" ref="C22:C27" si="1">B9&amp;" "&amp;G9</f>
        <v>vijay sharma</v>
      </c>
      <c r="D22" s="13"/>
      <c r="E22" s="13"/>
      <c r="F22" s="13"/>
    </row>
    <row r="23" customFormat="1" spans="2:6">
      <c r="B23" s="11" t="s">
        <v>29</v>
      </c>
      <c r="C23" s="12" t="str">
        <f t="shared" si="1"/>
        <v>HET KUMAR patel</v>
      </c>
      <c r="D23" s="13"/>
      <c r="E23" s="13"/>
      <c r="F23" s="13"/>
    </row>
    <row r="24" customFormat="1" spans="2:6">
      <c r="B24" s="11" t="s">
        <v>29</v>
      </c>
      <c r="C24" s="12" t="str">
        <f t="shared" si="1"/>
        <v>devang shah patel</v>
      </c>
      <c r="D24" s="13"/>
      <c r="E24" s="13"/>
      <c r="F24" s="13"/>
    </row>
    <row r="25" customFormat="1" spans="2:6">
      <c r="B25" s="11" t="s">
        <v>29</v>
      </c>
      <c r="C25" s="12" t="str">
        <f t="shared" si="1"/>
        <v>Brijesh Shekhda patel</v>
      </c>
      <c r="D25" s="13"/>
      <c r="E25" s="13"/>
      <c r="F25" s="13"/>
    </row>
    <row r="26" customFormat="1" spans="2:6">
      <c r="B26" s="11" t="s">
        <v>29</v>
      </c>
      <c r="C26" s="12" t="str">
        <f t="shared" si="1"/>
        <v>krish shah</v>
      </c>
      <c r="D26" s="13"/>
      <c r="E26" s="13"/>
      <c r="F26" s="13"/>
    </row>
    <row r="27" customFormat="1" spans="2:6">
      <c r="B27" s="11" t="s">
        <v>29</v>
      </c>
      <c r="C27" s="12" t="str">
        <f t="shared" si="1"/>
        <v>vijay shekhda</v>
      </c>
      <c r="D27" s="13"/>
      <c r="E27" s="13"/>
      <c r="F27" s="1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workbookViewId="0">
      <selection activeCell="I17" sqref="I17"/>
    </sheetView>
  </sheetViews>
  <sheetFormatPr defaultColWidth="9.14285714285714" defaultRowHeight="15"/>
  <cols>
    <col min="2" max="2" width="31.8571428571429" customWidth="1"/>
    <col min="3" max="3" width="22" customWidth="1"/>
    <col min="4" max="4" width="20.7142857142857" customWidth="1"/>
    <col min="5" max="5" width="23.5714285714286" customWidth="1"/>
    <col min="6" max="6" width="41.2857142857143" customWidth="1"/>
    <col min="7" max="7" width="18.428571428571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</row>
    <row r="2" spans="1:12">
      <c r="A2">
        <f t="shared" ref="A2:A16" si="0">ROW()-1</f>
        <v>1</v>
      </c>
      <c r="B2" t="s">
        <v>30</v>
      </c>
      <c r="C2">
        <v>25500</v>
      </c>
      <c r="D2">
        <v>9998003879</v>
      </c>
      <c r="E2" t="s">
        <v>8</v>
      </c>
      <c r="F2" t="s">
        <v>9</v>
      </c>
      <c r="G2" t="s">
        <v>10</v>
      </c>
    </row>
    <row r="3" spans="1:12">
      <c r="A3">
        <f t="shared" si="0"/>
        <v>2</v>
      </c>
      <c r="B3" t="s">
        <v>11</v>
      </c>
      <c r="C3">
        <v>22500</v>
      </c>
      <c r="D3">
        <v>91545454545</v>
      </c>
      <c r="E3" t="s">
        <v>12</v>
      </c>
      <c r="F3" t="s">
        <v>13</v>
      </c>
      <c r="G3" t="s">
        <v>14</v>
      </c>
    </row>
    <row r="4" spans="1:12">
      <c r="A4">
        <f t="shared" si="0"/>
        <v>3</v>
      </c>
      <c r="B4" t="s">
        <v>15</v>
      </c>
      <c r="C4">
        <v>15500</v>
      </c>
      <c r="D4">
        <v>9155454545</v>
      </c>
      <c r="E4" t="s">
        <v>16</v>
      </c>
      <c r="F4" t="s">
        <v>9</v>
      </c>
      <c r="G4" t="s">
        <v>31</v>
      </c>
    </row>
    <row r="5" spans="1:12">
      <c r="A5">
        <f t="shared" si="0"/>
        <v>4</v>
      </c>
      <c r="B5" t="s">
        <v>32</v>
      </c>
      <c r="C5">
        <v>22850</v>
      </c>
      <c r="D5">
        <v>9212121</v>
      </c>
      <c r="E5" t="s">
        <v>18</v>
      </c>
      <c r="F5" t="s">
        <v>9</v>
      </c>
      <c r="G5" t="s">
        <v>33</v>
      </c>
    </row>
    <row r="6" spans="1:12">
      <c r="A6">
        <f t="shared" si="0"/>
        <v>5</v>
      </c>
      <c r="B6" t="str">
        <f>UPPER("devang")</f>
        <v>DEVANG</v>
      </c>
      <c r="C6">
        <v>35500</v>
      </c>
      <c r="D6">
        <v>91454545</v>
      </c>
      <c r="E6" t="s">
        <v>19</v>
      </c>
      <c r="F6" t="s">
        <v>13</v>
      </c>
      <c r="G6" t="s">
        <v>20</v>
      </c>
    </row>
    <row r="7" spans="1:12">
      <c r="A7">
        <f t="shared" si="0"/>
        <v>6</v>
      </c>
      <c r="B7" t="s">
        <v>30</v>
      </c>
      <c r="C7">
        <v>25500</v>
      </c>
      <c r="D7">
        <v>9998003879</v>
      </c>
      <c r="E7" t="s">
        <v>8</v>
      </c>
      <c r="F7" t="s">
        <v>9</v>
      </c>
      <c r="G7" t="s">
        <v>21</v>
      </c>
    </row>
    <row r="8" spans="1:12">
      <c r="A8">
        <f t="shared" si="0"/>
        <v>7</v>
      </c>
      <c r="B8" t="s">
        <v>11</v>
      </c>
      <c r="C8">
        <v>82500</v>
      </c>
      <c r="D8">
        <v>91545454545</v>
      </c>
      <c r="E8" t="s">
        <v>12</v>
      </c>
      <c r="F8" t="s">
        <v>13</v>
      </c>
      <c r="G8" t="s">
        <v>34</v>
      </c>
    </row>
    <row r="9" spans="1:12">
      <c r="A9">
        <f t="shared" si="0"/>
        <v>8</v>
      </c>
      <c r="B9" t="s">
        <v>15</v>
      </c>
      <c r="C9">
        <v>15500</v>
      </c>
      <c r="D9">
        <v>9155454545</v>
      </c>
      <c r="E9" t="s">
        <v>16</v>
      </c>
      <c r="F9" t="s">
        <v>9</v>
      </c>
      <c r="G9" t="s">
        <v>35</v>
      </c>
    </row>
    <row r="10" spans="1:12">
      <c r="A10">
        <f t="shared" si="0"/>
        <v>9</v>
      </c>
      <c r="B10" t="str">
        <f>UPPER("het")</f>
        <v>HET</v>
      </c>
      <c r="C10">
        <v>22850</v>
      </c>
      <c r="D10">
        <v>9212121</v>
      </c>
      <c r="E10" t="s">
        <v>18</v>
      </c>
      <c r="F10" t="s">
        <v>9</v>
      </c>
      <c r="G10" t="s">
        <v>36</v>
      </c>
    </row>
    <row r="11" spans="1:12">
      <c r="A11">
        <f t="shared" si="0"/>
        <v>10</v>
      </c>
      <c r="B11" t="s">
        <v>37</v>
      </c>
      <c r="C11">
        <v>35500</v>
      </c>
      <c r="D11">
        <v>91454545</v>
      </c>
      <c r="E11" t="s">
        <v>19</v>
      </c>
      <c r="F11" t="s">
        <v>13</v>
      </c>
      <c r="G11" t="s">
        <v>38</v>
      </c>
    </row>
    <row r="12" spans="1:12">
      <c r="A12">
        <f t="shared" si="0"/>
        <v>11</v>
      </c>
      <c r="B12" t="str">
        <f>PROPER("brijesh")</f>
        <v>Brijesh</v>
      </c>
      <c r="C12">
        <v>25500</v>
      </c>
      <c r="D12">
        <v>9998003879</v>
      </c>
      <c r="E12" t="s">
        <v>8</v>
      </c>
      <c r="F12" t="s">
        <v>9</v>
      </c>
      <c r="G12" t="s">
        <v>39</v>
      </c>
    </row>
    <row r="13" spans="1:12">
      <c r="A13">
        <f t="shared" si="0"/>
        <v>12</v>
      </c>
      <c r="B13" t="s">
        <v>11</v>
      </c>
      <c r="C13">
        <v>22500</v>
      </c>
      <c r="D13">
        <v>91545454545</v>
      </c>
      <c r="E13" t="s">
        <v>12</v>
      </c>
      <c r="F13" t="s">
        <v>13</v>
      </c>
      <c r="G13" t="s">
        <v>14</v>
      </c>
    </row>
    <row r="14" spans="1:12">
      <c r="A14">
        <f t="shared" si="0"/>
        <v>13</v>
      </c>
      <c r="B14" t="s">
        <v>15</v>
      </c>
      <c r="C14">
        <v>75500</v>
      </c>
      <c r="D14">
        <v>9155454545</v>
      </c>
      <c r="E14" t="s">
        <v>16</v>
      </c>
      <c r="F14" t="s">
        <v>9</v>
      </c>
      <c r="G14" t="s">
        <v>21</v>
      </c>
    </row>
    <row r="15" spans="1:12">
      <c r="A15">
        <f t="shared" si="0"/>
        <v>14</v>
      </c>
      <c r="B15" t="s">
        <v>32</v>
      </c>
      <c r="C15">
        <v>2850</v>
      </c>
      <c r="D15">
        <v>9212121</v>
      </c>
      <c r="E15" t="s">
        <v>18</v>
      </c>
      <c r="F15" t="s">
        <v>9</v>
      </c>
      <c r="G15" t="s">
        <v>14</v>
      </c>
    </row>
    <row r="16" spans="1:12">
      <c r="A16">
        <f t="shared" si="0"/>
        <v>15</v>
      </c>
      <c r="B16" t="s">
        <v>37</v>
      </c>
      <c r="C16">
        <v>35500</v>
      </c>
      <c r="D16">
        <v>91454545</v>
      </c>
      <c r="E16" t="s">
        <v>19</v>
      </c>
      <c r="F16" t="s">
        <v>13</v>
      </c>
      <c r="G16" t="s">
        <v>23</v>
      </c>
    </row>
    <row r="17" customFormat="1" spans="2:6">
      <c r="B17" s="2" t="s">
        <v>24</v>
      </c>
      <c r="C17" s="3">
        <f>SUM(C2:C16)</f>
        <v>465550</v>
      </c>
      <c r="D17" s="3"/>
      <c r="E17" s="3"/>
      <c r="F17" s="3"/>
    </row>
    <row r="18" customFormat="1" spans="2:6">
      <c r="B18" s="4" t="s">
        <v>25</v>
      </c>
      <c r="C18" s="5">
        <f>AVERAGE(C1:C16)</f>
        <v>31036.6666666667</v>
      </c>
      <c r="D18" s="5"/>
      <c r="E18" s="5"/>
      <c r="F18" s="5"/>
    </row>
    <row r="19" customFormat="1" spans="2:6">
      <c r="B19" s="6" t="s">
        <v>26</v>
      </c>
      <c r="C19" s="7">
        <f>MAX(C1:C16)</f>
        <v>82500</v>
      </c>
      <c r="D19" s="7"/>
      <c r="E19" s="7"/>
      <c r="F19" s="7"/>
    </row>
    <row r="20" customFormat="1" spans="2:6">
      <c r="B20" s="8" t="s">
        <v>27</v>
      </c>
      <c r="C20" s="9">
        <f>MIN(C2:C16)</f>
        <v>2850</v>
      </c>
      <c r="D20" s="9"/>
      <c r="E20" s="9"/>
      <c r="F20" s="9"/>
    </row>
    <row r="21" customFormat="1" spans="2:6">
      <c r="B21" s="10" t="s">
        <v>28</v>
      </c>
      <c r="C21" s="10">
        <f>COUNT(A2:A16)</f>
        <v>15</v>
      </c>
      <c r="D21" s="10"/>
      <c r="E21" s="10"/>
      <c r="F21" s="10"/>
    </row>
    <row r="22" customFormat="1" spans="2:6">
      <c r="B22" s="11" t="s">
        <v>29</v>
      </c>
      <c r="C22" s="12" t="str">
        <f t="shared" ref="C22:C27" si="1">B9&amp;" "&amp;G9</f>
        <v>vijay rupeliya</v>
      </c>
      <c r="D22" s="13"/>
      <c r="E22" s="13"/>
      <c r="F22" s="13"/>
    </row>
    <row r="23" customFormat="1" spans="2:6">
      <c r="B23" s="11" t="s">
        <v>29</v>
      </c>
      <c r="C23" s="12" t="str">
        <f t="shared" si="1"/>
        <v>HET kumar</v>
      </c>
      <c r="D23" s="13"/>
      <c r="E23" s="13"/>
      <c r="F23" s="13"/>
    </row>
    <row r="24" customFormat="1" spans="2:6">
      <c r="B24" s="11" t="s">
        <v>29</v>
      </c>
      <c r="C24" s="12" t="str">
        <f t="shared" si="1"/>
        <v>devang dixit</v>
      </c>
      <c r="D24" s="13"/>
      <c r="E24" s="13"/>
      <c r="F24" s="13"/>
    </row>
    <row r="25" customFormat="1" spans="2:6">
      <c r="B25" s="11" t="s">
        <v>29</v>
      </c>
      <c r="C25" s="12" t="str">
        <f t="shared" si="1"/>
        <v>Brijesh dave</v>
      </c>
      <c r="D25" s="13"/>
      <c r="E25" s="13"/>
      <c r="F25" s="13"/>
    </row>
    <row r="26" customFormat="1" spans="2:6">
      <c r="B26" s="11" t="s">
        <v>29</v>
      </c>
      <c r="C26" s="12" t="str">
        <f t="shared" si="1"/>
        <v>krish patel</v>
      </c>
      <c r="D26" s="13"/>
      <c r="E26" s="13"/>
      <c r="F26" s="13"/>
    </row>
    <row r="27" customFormat="1" spans="2:6">
      <c r="B27" s="11" t="s">
        <v>29</v>
      </c>
      <c r="C27" s="12" t="str">
        <f t="shared" si="1"/>
        <v>vijay shekhda</v>
      </c>
      <c r="D27" s="13"/>
      <c r="E27" s="13"/>
      <c r="F27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worksheet2</vt:lpstr>
      <vt:lpstr>worksheet3</vt:lpstr>
      <vt:lpstr>worksheet4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2026-06-20T12:10:57Z</dcterms:created>
  <dcterms:modified xsi:type="dcterms:W3CDTF">2026-06-20T13:49:04Z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F4C2FEFB90EF4884BD57D829C638F457_11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